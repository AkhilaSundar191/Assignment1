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A\Documents\Excel\"/>
    </mc:Choice>
  </mc:AlternateContent>
  <xr:revisionPtr revIDLastSave="0" documentId="8_{83E4380B-A3B8-417A-A37D-D01E48ADA06E}" xr6:coauthVersionLast="47" xr6:coauthVersionMax="47" xr10:uidLastSave="{00000000-0000-0000-0000-000000000000}"/>
  <bookViews>
    <workbookView xWindow="-110" yWindow="-110" windowWidth="19420" windowHeight="11500" xr2:uid="{B7778910-CDB3-4672-82F2-A13E3EC38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Q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O2" i="1"/>
  <c r="N2" i="1"/>
  <c r="M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P2" i="1" l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<sst xmlns="http://schemas.openxmlformats.org/spreadsheetml/2006/main" count="153" uniqueCount="104">
  <si>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</si>
  <si>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</si>
  <si>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</si>
  <si>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</si>
  <si>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</si>
  <si>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</si>
  <si>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</si>
  <si>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</si>
  <si>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</si>
  <si>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</si>
  <si>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</si>
  <si>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</si>
  <si>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</si>
  <si>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</si>
  <si>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</si>
  <si>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</si>
  <si>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</si>
  <si>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</si>
  <si>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</si>
  <si>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</si>
  <si>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</si>
  <si>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</si>
  <si>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</si>
  <si>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</si>
  <si>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</si>
  <si>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</si>
  <si>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</si>
  <si>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</si>
  <si>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</si>
  <si>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</si>
  <si>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</si>
  <si>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</si>
  <si>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</si>
  <si>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</si>
  <si>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</si>
  <si>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</si>
  <si>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</si>
  <si>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</si>
  <si>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</si>
  <si>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</si>
  <si>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</si>
  <si>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</si>
  <si>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</si>
  <si>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</si>
  <si>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</si>
  <si>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</si>
  <si>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</si>
  <si>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</si>
  <si>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</si>
  <si>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</si>
  <si>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</si>
  <si>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</si>
  <si>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</si>
  <si>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</si>
  <si>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</si>
  <si>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</si>
  <si>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</si>
  <si>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</si>
  <si>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</si>
  <si>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</si>
  <si>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</si>
  <si>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</si>
  <si>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</si>
  <si>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</si>
  <si>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</si>
  <si>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</si>
  <si>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</si>
  <si>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</si>
  <si>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</si>
  <si>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</si>
  <si>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</si>
  <si>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</si>
  <si>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</si>
  <si>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</si>
  <si>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</si>
  <si>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</si>
  <si>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</si>
  <si>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</si>
  <si>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</si>
  <si>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</si>
  <si>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</si>
  <si>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</si>
  <si>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</si>
  <si>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</si>
  <si>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</si>
  <si>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</si>
  <si>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</si>
  <si>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</si>
  <si>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</si>
  <si>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</si>
  <si>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</si>
  <si>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</si>
  <si>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</si>
  <si>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</si>
  <si>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Min Price</t>
  </si>
  <si>
    <t>Max Price</t>
  </si>
  <si>
    <t>Price Range</t>
  </si>
  <si>
    <t>Total Price of Electronics</t>
  </si>
  <si>
    <t>Count of Products&lt;$100</t>
  </si>
  <si>
    <t>Average Price</t>
  </si>
  <si>
    <t>Total Count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</si>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</sst>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 tint="0.149998474074526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8FE67B-A4A3-4C8A-A790-C4344D6E7859}" name="Table3" displayName="Table3" ref="D1:K35" totalsRowShown="0" headerRowDxfId="8">
  <autoFilter ref="D1:K35" xr:uid="{348FE67B-A4A3-4C8A-A790-C4344D6E78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F9E15A-CC3E-4BFC-B734-388CB5B1A0AA}" name="Price ($)" dataDxfId="2"/>
    <tableColumn id="2" xr3:uid="{2A712FAF-6169-4C49-A0C6-38F838BA975C}" name="Quantity" dataDxfId="1"/>
    <tableColumn id="3" xr3:uid="{49F1DC6F-8940-4E78-9931-2C5695200CCC}" name="Category" dataDxfId="0"/>
    <tableColumn id="4" xr3:uid="{AA760B40-0A3A-4810-ACE1-4B469A42111A}" name="Total Price" dataDxfId="7"/>
    <tableColumn id="5" xr3:uid="{06453485-DA00-4CF2-8D26-EA2B1B8C22A5}" name="Price Range" dataDxfId="6"/>
    <tableColumn id="6" xr3:uid="{E2726B2D-4DBE-469A-AAD2-97D38669417C}" name="Day" dataDxfId="5">
      <calculatedColumnFormula>LEFT(A2,2)</calculatedColumnFormula>
    </tableColumn>
    <tableColumn id="7" xr3:uid="{CB3C40EB-3D8C-40A4-B6B1-72D63F362859}" name="Country Code" dataDxfId="4">
      <calculatedColumnFormula>RIGHT(A2,2)</calculatedColumnFormula>
    </tableColumn>
    <tableColumn id="8" xr3:uid="{D82B01D8-2E1D-4189-AC2B-95A73C103DA5}" name="Month" dataDxfId="3">
      <calculatedColumnFormula>MID(A2,4,3)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D7EE-33F8-4038-A174-F499E1D48522}">
  <dimension ref="A1:Q35"/>
  <sheetViews>
    <sheetView tabSelected="1" workbookViewId="0">
      <selection activeCell="G15" sqref="G15"/>
    </sheetView>
  </sheetViews>
  <sheetFormatPr defaultRowHeight="14.5" x14ac:dyDescent="0.35"/>
  <cols>
    <col min="1" max="1" width="14.453125" style="1" customWidth="1"/>
    <col min="2" max="2" width="15.6328125" style="1" customWidth="1"/>
    <col min="3" max="3" width="12.26953125" style="1" customWidth="1"/>
    <col min="4" max="4" width="11.08984375" style="1" bestFit="1" customWidth="1"/>
    <col min="5" max="5" width="10.1796875" style="1" customWidth="1"/>
    <col min="6" max="6" width="14.36328125" style="1" customWidth="1"/>
    <col min="7" max="7" width="14.1796875" customWidth="1"/>
    <col min="8" max="11" width="14.36328125" style="1" customWidth="1"/>
    <col min="12" max="13" width="14.1796875" style="1" customWidth="1"/>
    <col min="14" max="15" width="8.7265625" style="1"/>
    <col min="16" max="16" width="20.90625" style="1" bestFit="1" customWidth="1"/>
    <col min="17" max="17" width="20.453125" style="1" bestFit="1" customWidth="1"/>
  </cols>
  <sheetData>
    <row r="1" spans="1:17" ht="19.5" customHeight="1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2" t="s">
        <v>93</v>
      </c>
      <c r="H1" s="2" t="s">
        <v>96</v>
      </c>
      <c r="I1" s="2" t="s">
        <v>101</v>
      </c>
      <c r="J1" s="2" t="s">
        <v>102</v>
      </c>
      <c r="K1" s="2" t="s">
        <v>103</v>
      </c>
      <c r="L1" s="11" t="s">
        <v>100</v>
      </c>
      <c r="M1" s="12" t="s">
        <v>99</v>
      </c>
      <c r="N1" s="11" t="s">
        <v>94</v>
      </c>
      <c r="O1" s="11" t="s">
        <v>95</v>
      </c>
      <c r="P1" s="11" t="s">
        <v>97</v>
      </c>
      <c r="Q1" s="11" t="s">
        <v>98</v>
      </c>
    </row>
    <row r="2" spans="1:17" x14ac:dyDescent="0.35">
      <c r="A2" s="8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  <c r="G2" s="9">
        <f>D2*E2</f>
        <v>30000</v>
      </c>
      <c r="H2" s="9" t="str">
        <f>IF(D2&gt;=500,"High Price","Standard Price")</f>
        <v>High Price</v>
      </c>
      <c r="I2" s="9" t="str">
        <f>LEFT(A2,2)</f>
        <v>28</v>
      </c>
      <c r="J2" s="9" t="str">
        <f>RIGHT(A2,2)</f>
        <v>US</v>
      </c>
      <c r="K2" s="9" t="str">
        <f>MID(A2,4,3)</f>
        <v>JAN</v>
      </c>
      <c r="L2" s="9">
        <f>COUNT(E2:E35)</f>
        <v>34</v>
      </c>
      <c r="M2" s="10">
        <f>AVERAGE(D2:D35)</f>
        <v>297.05882352941177</v>
      </c>
      <c r="N2" s="9">
        <f>MIN(D2:D35)</f>
        <v>30</v>
      </c>
      <c r="O2" s="9">
        <f>MAX(D2:D35)</f>
        <v>1000</v>
      </c>
      <c r="P2" s="9">
        <f>SUMIF(F2:F35,"Electronics",G2:G35)</f>
        <v>234200</v>
      </c>
      <c r="Q2" s="9">
        <f>COUNTIF(D2:D35,"&lt;100")</f>
        <v>11</v>
      </c>
    </row>
    <row r="3" spans="1:17" x14ac:dyDescent="0.35">
      <c r="A3" s="7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3">
        <f t="shared" ref="G3:G35" si="0">D3*E3</f>
        <v>1200</v>
      </c>
      <c r="H3" s="3" t="str">
        <f t="shared" ref="H3:H35" si="1">IF(D3&gt;=500,"High Price","Standard Price")</f>
        <v>Standard Price</v>
      </c>
      <c r="I3" s="3" t="str">
        <f>LEFT(A3,2)</f>
        <v>15</v>
      </c>
      <c r="J3" s="3" t="str">
        <f>RIGHT(A3,2)</f>
        <v>US</v>
      </c>
      <c r="K3" s="3" t="str">
        <f>MID(A3,4,3)</f>
        <v>FEB</v>
      </c>
    </row>
    <row r="4" spans="1:17" x14ac:dyDescent="0.35">
      <c r="A4" s="8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  <c r="G4" s="9">
        <f t="shared" si="0"/>
        <v>5200</v>
      </c>
      <c r="H4" s="9" t="str">
        <f t="shared" si="1"/>
        <v>Standard Price</v>
      </c>
      <c r="I4" s="9" t="str">
        <f>LEFT(A4,2)</f>
        <v>03</v>
      </c>
      <c r="J4" s="9" t="str">
        <f>RIGHT(A4,2)</f>
        <v>US</v>
      </c>
      <c r="K4" s="9" t="str">
        <f>MID(A4,4,3)</f>
        <v>MAR</v>
      </c>
    </row>
    <row r="5" spans="1:17" x14ac:dyDescent="0.35">
      <c r="A5" s="7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3">
        <f t="shared" si="0"/>
        <v>22500</v>
      </c>
      <c r="H5" s="3" t="str">
        <f t="shared" si="1"/>
        <v>High Price</v>
      </c>
      <c r="I5" s="3" t="str">
        <f>LEFT(A5,2)</f>
        <v>11</v>
      </c>
      <c r="J5" s="3" t="str">
        <f>RIGHT(A5,2)</f>
        <v>US</v>
      </c>
      <c r="K5" s="3" t="str">
        <f>MID(A5,4,3)</f>
        <v>APR</v>
      </c>
    </row>
    <row r="6" spans="1:17" x14ac:dyDescent="0.35">
      <c r="A6" s="8" t="s">
        <v>21</v>
      </c>
      <c r="B6" s="8" t="s">
        <v>22</v>
      </c>
      <c r="C6" s="8" t="s">
        <v>23</v>
      </c>
      <c r="D6" s="8">
        <v>70</v>
      </c>
      <c r="E6" s="8">
        <v>20</v>
      </c>
      <c r="F6" s="8" t="s">
        <v>24</v>
      </c>
      <c r="G6" s="9">
        <f t="shared" si="0"/>
        <v>1400</v>
      </c>
      <c r="H6" s="9" t="str">
        <f t="shared" si="1"/>
        <v>Standard Price</v>
      </c>
      <c r="I6" s="9" t="str">
        <f>LEFT(A6,2)</f>
        <v>22</v>
      </c>
      <c r="J6" s="9" t="str">
        <f>RIGHT(A6,2)</f>
        <v>US</v>
      </c>
      <c r="K6" s="9" t="str">
        <f>MID(A6,4,3)</f>
        <v>MAY</v>
      </c>
    </row>
    <row r="7" spans="1:17" x14ac:dyDescent="0.35">
      <c r="A7" s="7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3">
        <f t="shared" si="0"/>
        <v>9000</v>
      </c>
      <c r="H7" s="3" t="str">
        <f t="shared" si="1"/>
        <v>Standard Price</v>
      </c>
      <c r="I7" s="3" t="str">
        <f>LEFT(A7,2)</f>
        <v>07</v>
      </c>
      <c r="J7" s="3" t="str">
        <f>RIGHT(A7,2)</f>
        <v>UK</v>
      </c>
      <c r="K7" s="3" t="str">
        <f>MID(A7,4,3)</f>
        <v>JUN</v>
      </c>
    </row>
    <row r="8" spans="1:17" x14ac:dyDescent="0.35">
      <c r="A8" s="8" t="s">
        <v>28</v>
      </c>
      <c r="B8" s="8" t="s">
        <v>29</v>
      </c>
      <c r="C8" s="8" t="s">
        <v>30</v>
      </c>
      <c r="D8" s="8">
        <v>30</v>
      </c>
      <c r="E8" s="8">
        <v>5</v>
      </c>
      <c r="F8" s="8" t="s">
        <v>13</v>
      </c>
      <c r="G8" s="9">
        <f t="shared" si="0"/>
        <v>150</v>
      </c>
      <c r="H8" s="9" t="str">
        <f t="shared" si="1"/>
        <v>Standard Price</v>
      </c>
      <c r="I8" s="9" t="str">
        <f>LEFT(A8,2)</f>
        <v>19</v>
      </c>
      <c r="J8" s="9" t="str">
        <f>RIGHT(A8,2)</f>
        <v>UK</v>
      </c>
      <c r="K8" s="9" t="str">
        <f>MID(A8,4,3)</f>
        <v>JUL</v>
      </c>
    </row>
    <row r="9" spans="1:17" x14ac:dyDescent="0.35">
      <c r="A9" s="7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3">
        <f t="shared" si="0"/>
        <v>3150</v>
      </c>
      <c r="H9" s="3" t="str">
        <f t="shared" si="1"/>
        <v>Standard Price</v>
      </c>
      <c r="I9" s="3" t="str">
        <f>LEFT(A9,2)</f>
        <v>23</v>
      </c>
      <c r="J9" s="3" t="str">
        <f>RIGHT(A9,2)</f>
        <v>UK</v>
      </c>
      <c r="K9" s="3" t="str">
        <f>MID(A9,4,3)</f>
        <v>AUG</v>
      </c>
    </row>
    <row r="10" spans="1:17" x14ac:dyDescent="0.35">
      <c r="A10" s="8" t="s">
        <v>34</v>
      </c>
      <c r="B10" s="8" t="s">
        <v>35</v>
      </c>
      <c r="C10" s="8" t="s">
        <v>36</v>
      </c>
      <c r="D10" s="8">
        <v>500</v>
      </c>
      <c r="E10" s="8">
        <v>50</v>
      </c>
      <c r="F10" s="8" t="s">
        <v>9</v>
      </c>
      <c r="G10" s="9">
        <f t="shared" si="0"/>
        <v>25000</v>
      </c>
      <c r="H10" s="9" t="str">
        <f t="shared" si="1"/>
        <v>High Price</v>
      </c>
      <c r="I10" s="9" t="str">
        <f>LEFT(A10,2)</f>
        <v>05</v>
      </c>
      <c r="J10" s="9" t="str">
        <f>RIGHT(A10,2)</f>
        <v>UK</v>
      </c>
      <c r="K10" s="9" t="str">
        <f>MID(A10,4,3)</f>
        <v>SEP</v>
      </c>
    </row>
    <row r="11" spans="1:17" x14ac:dyDescent="0.35">
      <c r="A11" s="7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3">
        <f t="shared" si="0"/>
        <v>1300</v>
      </c>
      <c r="H11" s="3" t="str">
        <f t="shared" si="1"/>
        <v>Standard Price</v>
      </c>
      <c r="I11" s="3" t="str">
        <f>LEFT(A11,2)</f>
        <v>14</v>
      </c>
      <c r="J11" s="3" t="str">
        <f>RIGHT(A11,2)</f>
        <v>UK</v>
      </c>
      <c r="K11" s="3" t="str">
        <f>MID(A11,4,3)</f>
        <v>OCT</v>
      </c>
    </row>
    <row r="12" spans="1:17" x14ac:dyDescent="0.35">
      <c r="A12" s="8" t="s">
        <v>40</v>
      </c>
      <c r="B12" s="8" t="s">
        <v>7</v>
      </c>
      <c r="C12" s="8" t="s">
        <v>41</v>
      </c>
      <c r="D12" s="8">
        <v>950</v>
      </c>
      <c r="E12" s="8">
        <v>25</v>
      </c>
      <c r="F12" s="8" t="s">
        <v>9</v>
      </c>
      <c r="G12" s="9">
        <f t="shared" si="0"/>
        <v>23750</v>
      </c>
      <c r="H12" s="9" t="str">
        <f t="shared" si="1"/>
        <v>High Price</v>
      </c>
      <c r="I12" s="9" t="str">
        <f>LEFT(A12,2)</f>
        <v>17</v>
      </c>
      <c r="J12" s="9" t="str">
        <f>RIGHT(A12,2)</f>
        <v>IN</v>
      </c>
      <c r="K12" s="9" t="str">
        <f>MID(A12,4,3)</f>
        <v>JUN</v>
      </c>
    </row>
    <row r="13" spans="1:17" x14ac:dyDescent="0.35">
      <c r="A13" s="7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3">
        <f t="shared" si="0"/>
        <v>3600</v>
      </c>
      <c r="H13" s="3" t="str">
        <f t="shared" si="1"/>
        <v>Standard Price</v>
      </c>
      <c r="I13" s="3" t="str">
        <f>LEFT(A13,2)</f>
        <v>25</v>
      </c>
      <c r="J13" s="3" t="str">
        <f>RIGHT(A13,2)</f>
        <v>AU</v>
      </c>
      <c r="K13" s="3" t="str">
        <f>MID(A13,4,3)</f>
        <v>NOV</v>
      </c>
    </row>
    <row r="14" spans="1:17" x14ac:dyDescent="0.35">
      <c r="A14" s="8" t="s">
        <v>43</v>
      </c>
      <c r="B14" s="8" t="s">
        <v>15</v>
      </c>
      <c r="C14" s="8" t="s">
        <v>44</v>
      </c>
      <c r="D14" s="8">
        <v>120</v>
      </c>
      <c r="E14" s="8">
        <v>35</v>
      </c>
      <c r="F14" s="8" t="s">
        <v>17</v>
      </c>
      <c r="G14" s="9">
        <f t="shared" si="0"/>
        <v>4200</v>
      </c>
      <c r="H14" s="9" t="str">
        <f t="shared" si="1"/>
        <v>Standard Price</v>
      </c>
      <c r="I14" s="9" t="str">
        <f>LEFT(A14,2)</f>
        <v>08</v>
      </c>
      <c r="J14" s="9" t="str">
        <f>RIGHT(A14,2)</f>
        <v>DE</v>
      </c>
      <c r="K14" s="9" t="str">
        <f>MID(A14,4,3)</f>
        <v>DEC</v>
      </c>
    </row>
    <row r="15" spans="1:17" x14ac:dyDescent="0.35">
      <c r="A15" s="7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3">
        <f t="shared" si="0"/>
        <v>2250</v>
      </c>
      <c r="H15" s="3" t="str">
        <f t="shared" si="1"/>
        <v>Standard Price</v>
      </c>
      <c r="I15" s="3" t="str">
        <f>LEFT(A15,2)</f>
        <v>18</v>
      </c>
      <c r="J15" s="3" t="str">
        <f>RIGHT(A15,2)</f>
        <v>CA</v>
      </c>
      <c r="K15" s="3" t="str">
        <f>MID(A15,4,3)</f>
        <v>FEB</v>
      </c>
    </row>
    <row r="16" spans="1:17" x14ac:dyDescent="0.35">
      <c r="A16" s="8" t="s">
        <v>48</v>
      </c>
      <c r="B16" s="8" t="s">
        <v>26</v>
      </c>
      <c r="C16" s="8" t="s">
        <v>49</v>
      </c>
      <c r="D16" s="8">
        <v>250</v>
      </c>
      <c r="E16" s="8">
        <v>20</v>
      </c>
      <c r="F16" s="8" t="s">
        <v>9</v>
      </c>
      <c r="G16" s="9">
        <f t="shared" si="0"/>
        <v>5000</v>
      </c>
      <c r="H16" s="9" t="str">
        <f t="shared" si="1"/>
        <v>Standard Price</v>
      </c>
      <c r="I16" s="9" t="str">
        <f>LEFT(A16,2)</f>
        <v>16</v>
      </c>
      <c r="J16" s="9" t="str">
        <f>RIGHT(A16,2)</f>
        <v>ES</v>
      </c>
      <c r="K16" s="9" t="str">
        <f>MID(A16,4,3)</f>
        <v>APR</v>
      </c>
    </row>
    <row r="17" spans="1:11" x14ac:dyDescent="0.35">
      <c r="A17" s="7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3">
        <f t="shared" si="0"/>
        <v>1750</v>
      </c>
      <c r="H17" s="3" t="str">
        <f t="shared" si="1"/>
        <v>Standard Price</v>
      </c>
      <c r="I17" s="3" t="str">
        <f>LEFT(A17,2)</f>
        <v>21</v>
      </c>
      <c r="J17" s="3" t="str">
        <f>RIGHT(A17,2)</f>
        <v>CA</v>
      </c>
      <c r="K17" s="3" t="str">
        <f>MID(A17,4,3)</f>
        <v>AUG</v>
      </c>
    </row>
    <row r="18" spans="1:11" x14ac:dyDescent="0.35">
      <c r="A18" s="8" t="s">
        <v>54</v>
      </c>
      <c r="B18" s="8" t="s">
        <v>46</v>
      </c>
      <c r="C18" s="8" t="s">
        <v>55</v>
      </c>
      <c r="D18" s="8">
        <v>160</v>
      </c>
      <c r="E18" s="8">
        <v>15</v>
      </c>
      <c r="F18" s="8" t="s">
        <v>9</v>
      </c>
      <c r="G18" s="9">
        <f t="shared" si="0"/>
        <v>2400</v>
      </c>
      <c r="H18" s="9" t="str">
        <f t="shared" si="1"/>
        <v>Standard Price</v>
      </c>
      <c r="I18" s="9" t="str">
        <f>LEFT(A18,2)</f>
        <v>20</v>
      </c>
      <c r="J18" s="9" t="str">
        <f>RIGHT(A18,2)</f>
        <v>CN</v>
      </c>
      <c r="K18" s="9" t="str">
        <f>MID(A18,4,3)</f>
        <v>AUG</v>
      </c>
    </row>
    <row r="19" spans="1:11" x14ac:dyDescent="0.35">
      <c r="A19" s="7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3">
        <f t="shared" si="0"/>
        <v>9800</v>
      </c>
      <c r="H19" s="3" t="str">
        <f t="shared" si="1"/>
        <v>High Price</v>
      </c>
      <c r="I19" s="3" t="str">
        <f>LEFT(A19,2)</f>
        <v>27</v>
      </c>
      <c r="J19" s="3" t="str">
        <f>RIGHT(A19,2)</f>
        <v>IT</v>
      </c>
      <c r="K19" s="3" t="str">
        <f>MID(A19,4,3)</f>
        <v>JAN</v>
      </c>
    </row>
    <row r="20" spans="1:11" x14ac:dyDescent="0.35">
      <c r="A20" s="8" t="s">
        <v>58</v>
      </c>
      <c r="B20" s="8" t="s">
        <v>59</v>
      </c>
      <c r="C20" s="8" t="s">
        <v>60</v>
      </c>
      <c r="D20" s="8">
        <v>150</v>
      </c>
      <c r="E20" s="8">
        <v>15</v>
      </c>
      <c r="F20" s="8" t="s">
        <v>13</v>
      </c>
      <c r="G20" s="9">
        <f t="shared" si="0"/>
        <v>2250</v>
      </c>
      <c r="H20" s="9" t="str">
        <f t="shared" si="1"/>
        <v>Standard Price</v>
      </c>
      <c r="I20" s="9" t="str">
        <f>LEFT(A20,2)</f>
        <v>01</v>
      </c>
      <c r="J20" s="9" t="str">
        <f>RIGHT(A20,2)</f>
        <v>UK</v>
      </c>
      <c r="K20" s="9" t="str">
        <f>MID(A20,4,3)</f>
        <v>MAR</v>
      </c>
    </row>
    <row r="21" spans="1:11" x14ac:dyDescent="0.35">
      <c r="A21" s="7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3">
        <f t="shared" si="0"/>
        <v>2000</v>
      </c>
      <c r="H21" s="3" t="str">
        <f t="shared" si="1"/>
        <v>Standard Price</v>
      </c>
      <c r="I21" s="3" t="str">
        <f>LEFT(A21,2)</f>
        <v>14</v>
      </c>
      <c r="J21" s="3" t="str">
        <f>RIGHT(A21,2)</f>
        <v>US</v>
      </c>
      <c r="K21" s="3" t="str">
        <f>MID(A21,4,3)</f>
        <v>AUG</v>
      </c>
    </row>
    <row r="22" spans="1:11" x14ac:dyDescent="0.35">
      <c r="A22" s="8" t="s">
        <v>64</v>
      </c>
      <c r="B22" s="8" t="s">
        <v>65</v>
      </c>
      <c r="C22" s="8" t="s">
        <v>66</v>
      </c>
      <c r="D22" s="8">
        <v>700</v>
      </c>
      <c r="E22" s="8">
        <v>50</v>
      </c>
      <c r="F22" s="8" t="s">
        <v>9</v>
      </c>
      <c r="G22" s="9">
        <f t="shared" si="0"/>
        <v>35000</v>
      </c>
      <c r="H22" s="9" t="str">
        <f t="shared" si="1"/>
        <v>High Price</v>
      </c>
      <c r="I22" s="9" t="str">
        <f>LEFT(A22,2)</f>
        <v>14</v>
      </c>
      <c r="J22" s="9" t="str">
        <f>RIGHT(A22,2)</f>
        <v>RU</v>
      </c>
      <c r="K22" s="9" t="str">
        <f>MID(A22,4,3)</f>
        <v>MAY</v>
      </c>
    </row>
    <row r="23" spans="1:11" x14ac:dyDescent="0.35">
      <c r="A23" s="7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3">
        <f t="shared" si="0"/>
        <v>1600</v>
      </c>
      <c r="H23" s="3" t="str">
        <f t="shared" si="1"/>
        <v>Standard Price</v>
      </c>
      <c r="I23" s="3" t="str">
        <f>LEFT(A23,2)</f>
        <v>09</v>
      </c>
      <c r="J23" s="3" t="str">
        <f>RIGHT(A23,2)</f>
        <v>CA</v>
      </c>
      <c r="K23" s="3" t="str">
        <f>MID(A23,4,3)</f>
        <v>JAN</v>
      </c>
    </row>
    <row r="24" spans="1:11" x14ac:dyDescent="0.35">
      <c r="A24" s="8" t="s">
        <v>70</v>
      </c>
      <c r="B24" s="8" t="s">
        <v>71</v>
      </c>
      <c r="C24" s="8" t="s">
        <v>72</v>
      </c>
      <c r="D24" s="8">
        <v>150</v>
      </c>
      <c r="E24" s="8">
        <v>30</v>
      </c>
      <c r="F24" s="8" t="s">
        <v>9</v>
      </c>
      <c r="G24" s="9">
        <f t="shared" si="0"/>
        <v>4500</v>
      </c>
      <c r="H24" s="9" t="str">
        <f t="shared" si="1"/>
        <v>Standard Price</v>
      </c>
      <c r="I24" s="9" t="str">
        <f>LEFT(A24,2)</f>
        <v>19</v>
      </c>
      <c r="J24" s="9" t="str">
        <f>RIGHT(A24,2)</f>
        <v>BR</v>
      </c>
      <c r="K24" s="9" t="str">
        <f>MID(A24,4,3)</f>
        <v>JUL</v>
      </c>
    </row>
    <row r="25" spans="1:11" x14ac:dyDescent="0.35">
      <c r="A25" s="7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3">
        <f t="shared" si="0"/>
        <v>1750</v>
      </c>
      <c r="H25" s="3" t="str">
        <f t="shared" si="1"/>
        <v>Standard Price</v>
      </c>
      <c r="I25" s="3" t="str">
        <f>LEFT(A25,2)</f>
        <v>21</v>
      </c>
      <c r="J25" s="3" t="str">
        <f>RIGHT(A25,2)</f>
        <v>CA</v>
      </c>
      <c r="K25" s="3" t="str">
        <f>MID(A25,4,3)</f>
        <v>AUG</v>
      </c>
    </row>
    <row r="26" spans="1:11" x14ac:dyDescent="0.35">
      <c r="A26" s="8" t="s">
        <v>73</v>
      </c>
      <c r="B26" s="8" t="s">
        <v>19</v>
      </c>
      <c r="C26" s="8" t="s">
        <v>74</v>
      </c>
      <c r="D26" s="8">
        <v>800</v>
      </c>
      <c r="E26" s="8">
        <v>45</v>
      </c>
      <c r="F26" s="8" t="s">
        <v>9</v>
      </c>
      <c r="G26" s="9">
        <f t="shared" si="0"/>
        <v>36000</v>
      </c>
      <c r="H26" s="9" t="str">
        <f t="shared" si="1"/>
        <v>High Price</v>
      </c>
      <c r="I26" s="9" t="str">
        <f>LEFT(A26,2)</f>
        <v>29</v>
      </c>
      <c r="J26" s="9" t="str">
        <f>RIGHT(A26,2)</f>
        <v>CA</v>
      </c>
      <c r="K26" s="9" t="str">
        <f>MID(A26,4,3)</f>
        <v>SEP</v>
      </c>
    </row>
    <row r="27" spans="1:11" x14ac:dyDescent="0.35">
      <c r="A27" s="7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3">
        <f t="shared" si="0"/>
        <v>3250</v>
      </c>
      <c r="H27" s="3" t="str">
        <f t="shared" si="1"/>
        <v>Standard Price</v>
      </c>
      <c r="I27" s="3" t="str">
        <f>LEFT(A27,2)</f>
        <v>03</v>
      </c>
      <c r="J27" s="3" t="str">
        <f>RIGHT(A27,2)</f>
        <v>CA</v>
      </c>
      <c r="K27" s="3" t="str">
        <f>MID(A27,4,3)</f>
        <v>JUN</v>
      </c>
    </row>
    <row r="28" spans="1:11" x14ac:dyDescent="0.35">
      <c r="A28" s="8" t="s">
        <v>77</v>
      </c>
      <c r="B28" s="8" t="s">
        <v>32</v>
      </c>
      <c r="C28" s="8" t="s">
        <v>78</v>
      </c>
      <c r="D28" s="8">
        <v>400</v>
      </c>
      <c r="E28" s="8">
        <v>40</v>
      </c>
      <c r="F28" s="8" t="s">
        <v>17</v>
      </c>
      <c r="G28" s="9">
        <f t="shared" si="0"/>
        <v>16000</v>
      </c>
      <c r="H28" s="9" t="str">
        <f t="shared" si="1"/>
        <v>Standard Price</v>
      </c>
      <c r="I28" s="9" t="str">
        <f>LEFT(A28,2)</f>
        <v>11</v>
      </c>
      <c r="J28" s="9" t="str">
        <f>RIGHT(A28,2)</f>
        <v>CA</v>
      </c>
      <c r="K28" s="9" t="str">
        <f>MID(A28,4,3)</f>
        <v>JUL</v>
      </c>
    </row>
    <row r="29" spans="1:11" x14ac:dyDescent="0.35">
      <c r="A29" s="7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3">
        <f t="shared" si="0"/>
        <v>4600</v>
      </c>
      <c r="H29" s="3" t="str">
        <f t="shared" si="1"/>
        <v>Standard Price</v>
      </c>
      <c r="I29" s="3" t="str">
        <f>LEFT(A29,2)</f>
        <v>16</v>
      </c>
      <c r="J29" s="3" t="str">
        <f>RIGHT(A29,2)</f>
        <v>ES</v>
      </c>
      <c r="K29" s="3" t="str">
        <f>MID(A29,4,3)</f>
        <v>APR</v>
      </c>
    </row>
    <row r="30" spans="1:11" x14ac:dyDescent="0.35">
      <c r="A30" s="8" t="s">
        <v>79</v>
      </c>
      <c r="B30" s="8" t="s">
        <v>80</v>
      </c>
      <c r="C30" s="8" t="s">
        <v>81</v>
      </c>
      <c r="D30" s="8">
        <v>60</v>
      </c>
      <c r="E30" s="8">
        <v>30</v>
      </c>
      <c r="F30" s="8" t="s">
        <v>13</v>
      </c>
      <c r="G30" s="9">
        <f t="shared" si="0"/>
        <v>1800</v>
      </c>
      <c r="H30" s="9" t="str">
        <f t="shared" si="1"/>
        <v>Standard Price</v>
      </c>
      <c r="I30" s="9" t="str">
        <f>LEFT(A30,2)</f>
        <v>07</v>
      </c>
      <c r="J30" s="9" t="str">
        <f>RIGHT(A30,2)</f>
        <v>CA</v>
      </c>
      <c r="K30" s="9" t="str">
        <f>MID(A30,4,3)</f>
        <v>MAR</v>
      </c>
    </row>
    <row r="31" spans="1:11" x14ac:dyDescent="0.35">
      <c r="A31" s="7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3">
        <f t="shared" si="0"/>
        <v>400</v>
      </c>
      <c r="H31" s="3" t="str">
        <f t="shared" si="1"/>
        <v>Standard Price</v>
      </c>
      <c r="I31" s="3" t="str">
        <f>LEFT(A31,2)</f>
        <v>13</v>
      </c>
      <c r="J31" s="3" t="str">
        <f>RIGHT(A31,2)</f>
        <v>CA</v>
      </c>
      <c r="K31" s="3" t="str">
        <f>MID(A31,4,3)</f>
        <v>APR</v>
      </c>
    </row>
    <row r="32" spans="1:11" x14ac:dyDescent="0.35">
      <c r="A32" s="8" t="s">
        <v>85</v>
      </c>
      <c r="B32" s="8" t="s">
        <v>71</v>
      </c>
      <c r="C32" s="8" t="s">
        <v>86</v>
      </c>
      <c r="D32" s="8">
        <v>130</v>
      </c>
      <c r="E32" s="8">
        <v>5</v>
      </c>
      <c r="F32" s="8" t="s">
        <v>9</v>
      </c>
      <c r="G32" s="9">
        <f t="shared" si="0"/>
        <v>650</v>
      </c>
      <c r="H32" s="9" t="str">
        <f t="shared" si="1"/>
        <v>Standard Price</v>
      </c>
      <c r="I32" s="9" t="str">
        <f>LEFT(A32,2)</f>
        <v>24</v>
      </c>
      <c r="J32" s="9" t="str">
        <f>RIGHT(A32,2)</f>
        <v>CA</v>
      </c>
      <c r="K32" s="9" t="str">
        <f>MID(A32,4,3)</f>
        <v>MAY</v>
      </c>
    </row>
    <row r="33" spans="1:11" x14ac:dyDescent="0.35">
      <c r="A33" s="7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3">
        <f t="shared" si="0"/>
        <v>2500</v>
      </c>
      <c r="H33" s="3" t="str">
        <f t="shared" si="1"/>
        <v>Standard Price</v>
      </c>
      <c r="I33" s="3" t="str">
        <f>LEFT(A33,2)</f>
        <v>02</v>
      </c>
      <c r="J33" s="3" t="str">
        <f>RIGHT(A33,2)</f>
        <v>CA</v>
      </c>
      <c r="K33" s="3" t="str">
        <f>MID(A33,4,3)</f>
        <v>DEC</v>
      </c>
    </row>
    <row r="34" spans="1:11" x14ac:dyDescent="0.35">
      <c r="A34" s="8" t="s">
        <v>40</v>
      </c>
      <c r="B34" s="8" t="s">
        <v>7</v>
      </c>
      <c r="C34" s="8" t="s">
        <v>41</v>
      </c>
      <c r="D34" s="8">
        <v>950</v>
      </c>
      <c r="E34" s="8">
        <v>25</v>
      </c>
      <c r="F34" s="8" t="s">
        <v>9</v>
      </c>
      <c r="G34" s="9">
        <f t="shared" si="0"/>
        <v>23750</v>
      </c>
      <c r="H34" s="9" t="str">
        <f t="shared" si="1"/>
        <v>High Price</v>
      </c>
      <c r="I34" s="9" t="str">
        <f>LEFT(A34,2)</f>
        <v>17</v>
      </c>
      <c r="J34" s="9" t="str">
        <f>RIGHT(A34,2)</f>
        <v>IN</v>
      </c>
      <c r="K34" s="9" t="str">
        <f>MID(A34,4,3)</f>
        <v>JUN</v>
      </c>
    </row>
    <row r="35" spans="1:11" x14ac:dyDescent="0.35">
      <c r="A35" s="7" t="s">
        <v>90</v>
      </c>
      <c r="B35" s="7" t="s">
        <v>91</v>
      </c>
      <c r="C35" s="7" t="s">
        <v>92</v>
      </c>
      <c r="D35" s="7">
        <v>100</v>
      </c>
      <c r="E35" s="7">
        <v>20</v>
      </c>
      <c r="F35" s="7" t="s">
        <v>53</v>
      </c>
      <c r="G35" s="3">
        <f t="shared" si="0"/>
        <v>2000</v>
      </c>
      <c r="H35" s="3" t="str">
        <f t="shared" si="1"/>
        <v>Standard Price</v>
      </c>
      <c r="I35" s="3" t="str">
        <f>LEFT(A35,2)</f>
        <v>09</v>
      </c>
      <c r="J35" s="3" t="str">
        <f>RIGHT(A35,2)</f>
        <v>FR</v>
      </c>
      <c r="K35" s="3" t="str">
        <f>MID(A35,4,3)</f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Sundar</dc:creator>
  <cp:lastModifiedBy>Akhila Sundar</cp:lastModifiedBy>
  <dcterms:created xsi:type="dcterms:W3CDTF">2026-10-05T16:45:54Z</dcterms:created>
  <dcterms:modified xsi:type="dcterms:W3CDTF">2026-10-05T17:54:45Z</dcterms:modified>
</cp:coreProperties>
</file>